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4389831D-3050-4C0D-84D0-BE793E9CCE54}" xr6:coauthVersionLast="47" xr6:coauthVersionMax="47" xr10:uidLastSave="{00000000-0000-0000-0000-000000000000}"/>
  <bookViews>
    <workbookView xWindow="28680" yWindow="-120" windowWidth="29040" windowHeight="15720" xr2:uid="{F651BB12-EA9B-4026-B56B-F0A7792188E7}"/>
  </bookViews>
  <sheets>
    <sheet name="Feuil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1" l="1"/>
  <c r="E8" i="1"/>
  <c r="E19" i="1"/>
  <c r="E21" i="1" s="1"/>
  <c r="E18" i="1"/>
  <c r="E17" i="1"/>
  <c r="E10" i="1"/>
  <c r="E9" i="1"/>
  <c r="E7" i="1"/>
  <c r="E24" i="1" l="1"/>
</calcChain>
</file>

<file path=xl/sharedStrings.xml><?xml version="1.0" encoding="utf-8"?>
<sst xmlns="http://schemas.openxmlformats.org/spreadsheetml/2006/main" count="21" uniqueCount="20">
  <si>
    <t>Chiffrage</t>
  </si>
  <si>
    <t xml:space="preserve">Equipement </t>
  </si>
  <si>
    <t>Qité</t>
  </si>
  <si>
    <t>Px Unit</t>
  </si>
  <si>
    <t>Total</t>
  </si>
  <si>
    <t>Switch CISCO 3650</t>
  </si>
  <si>
    <t>Cables et Accessoires</t>
  </si>
  <si>
    <t>Lot</t>
  </si>
  <si>
    <t>Materiel</t>
  </si>
  <si>
    <t>Sous-total Materiel</t>
  </si>
  <si>
    <t>Étude et conception</t>
  </si>
  <si>
    <t>Jours</t>
  </si>
  <si>
    <t>TJM</t>
  </si>
  <si>
    <t>Installation et config</t>
  </si>
  <si>
    <t>Test+Recette</t>
  </si>
  <si>
    <t>Sous-Total Prestation</t>
  </si>
  <si>
    <t>Total Global</t>
  </si>
  <si>
    <t>Switch CISCO 2960</t>
  </si>
  <si>
    <t>Cisco ASA 5506 Firewall</t>
  </si>
  <si>
    <t>Cisco Cradlepoint IBR1700 5Ghz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</si>
</sst>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Bookman Old Style"/>
      <family val="1"/>
    </font>
    <font>
      <b/>
      <sz val="11"/>
      <color theme="1"/>
      <name val="Bookman Old Style"/>
      <family val="1"/>
    </font>
    <font>
      <sz val="11"/>
      <color theme="1"/>
      <name val="Bookman Old Style"/>
      <family val="1"/>
    </font>
    <font>
      <b/>
      <sz val="14"/>
      <color theme="1"/>
      <name val="Bookman Old Style"/>
      <family val="1"/>
    </font>
    <font>
      <sz val="14"/>
      <color theme="1"/>
      <name val="Bookman Old Style"/>
      <family val="1"/>
    </font>
    <font>
      <b/>
      <u/>
      <sz val="10"/>
      <color theme="1"/>
      <name val="Bookman Old Style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CE6A3-0D0C-4CF1-A4FE-9EAC3613C8FF}">
  <dimension ref="B3:E24"/>
  <sheetViews>
    <sheetView tabSelected="1" workbookViewId="0">
      <selection activeCell="H23" sqref="H23"/>
    </sheetView>
  </sheetViews>
  <sheetFormatPr baseColWidth="10" defaultRowHeight="14" x14ac:dyDescent="0.3"/>
  <cols>
    <col min="1" max="1" width="10.90625" style="5"/>
    <col min="2" max="2" width="30.36328125" style="2" customWidth="1"/>
    <col min="3" max="16384" width="10.90625" style="5"/>
  </cols>
  <sheetData>
    <row r="3" spans="2:5" s="4" customFormat="1" ht="17.5" x14ac:dyDescent="0.35">
      <c r="B3" s="6" t="s">
        <v>0</v>
      </c>
    </row>
    <row r="4" spans="2:5" s="4" customFormat="1" x14ac:dyDescent="0.3">
      <c r="B4" s="8" t="s">
        <v>8</v>
      </c>
    </row>
    <row r="5" spans="2:5" s="4" customFormat="1" x14ac:dyDescent="0.3">
      <c r="B5" s="2" t="s">
        <v>1</v>
      </c>
      <c r="C5" s="4" t="s">
        <v>2</v>
      </c>
      <c r="D5" s="4" t="s">
        <v>3</v>
      </c>
      <c r="E5" s="4" t="s">
        <v>4</v>
      </c>
    </row>
    <row r="7" spans="2:5" x14ac:dyDescent="0.3">
      <c r="B7" s="2" t="s">
        <v>18</v>
      </c>
      <c r="C7" s="5">
        <v>1</v>
      </c>
      <c r="D7" s="5">
        <v>900</v>
      </c>
      <c r="E7" s="5">
        <f>C7*D7</f>
        <v>900</v>
      </c>
    </row>
    <row r="8" spans="2:5" ht="14.5" x14ac:dyDescent="0.35">
      <c r="B8" s="1" t="s">
        <v>19</v>
      </c>
      <c r="C8" s="5">
        <v>1</v>
      </c>
      <c r="D8" s="5">
        <v>1800</v>
      </c>
      <c r="E8" s="5">
        <f>C8*D8</f>
        <v>1800</v>
      </c>
    </row>
    <row r="9" spans="2:5" x14ac:dyDescent="0.3">
      <c r="B9" s="3" t="s">
        <v>5</v>
      </c>
      <c r="C9" s="5">
        <v>1</v>
      </c>
      <c r="D9" s="5">
        <v>1800</v>
      </c>
      <c r="E9" s="5">
        <f>C9*D9</f>
        <v>1800</v>
      </c>
    </row>
    <row r="10" spans="2:5" ht="20" customHeight="1" x14ac:dyDescent="0.3">
      <c r="B10" s="3" t="s">
        <v>17</v>
      </c>
      <c r="C10" s="5">
        <v>1</v>
      </c>
      <c r="D10" s="5">
        <v>650</v>
      </c>
      <c r="E10" s="5">
        <f>C10*D10</f>
        <v>650</v>
      </c>
    </row>
    <row r="11" spans="2:5" x14ac:dyDescent="0.3">
      <c r="B11" s="2" t="s">
        <v>6</v>
      </c>
      <c r="C11" s="5" t="s">
        <v>7</v>
      </c>
      <c r="D11" s="5">
        <v>600</v>
      </c>
      <c r="E11" s="5">
        <v>600</v>
      </c>
    </row>
    <row r="13" spans="2:5" x14ac:dyDescent="0.3">
      <c r="B13" s="2" t="s">
        <v>9</v>
      </c>
      <c r="E13" s="4">
        <f>SUM(E7:E12)</f>
        <v>5750</v>
      </c>
    </row>
    <row r="16" spans="2:5" s="4" customFormat="1" x14ac:dyDescent="0.3">
      <c r="B16" s="2"/>
      <c r="C16" s="4" t="s">
        <v>11</v>
      </c>
      <c r="D16" s="4" t="s">
        <v>12</v>
      </c>
      <c r="E16" s="4" t="s">
        <v>4</v>
      </c>
    </row>
    <row r="17" spans="2:5" x14ac:dyDescent="0.3">
      <c r="B17" s="9" t="s">
        <v>10</v>
      </c>
      <c r="C17" s="5">
        <v>3</v>
      </c>
      <c r="D17" s="5">
        <v>650</v>
      </c>
      <c r="E17" s="5">
        <f>D17*C17</f>
        <v>1950</v>
      </c>
    </row>
    <row r="18" spans="2:5" x14ac:dyDescent="0.3">
      <c r="B18" s="3" t="s">
        <v>13</v>
      </c>
      <c r="C18" s="5">
        <v>2</v>
      </c>
      <c r="D18" s="5">
        <v>650</v>
      </c>
      <c r="E18" s="5">
        <f>D18*C18</f>
        <v>1300</v>
      </c>
    </row>
    <row r="19" spans="2:5" x14ac:dyDescent="0.3">
      <c r="B19" s="2" t="s">
        <v>14</v>
      </c>
      <c r="C19" s="5">
        <v>1</v>
      </c>
      <c r="D19" s="5">
        <v>300</v>
      </c>
      <c r="E19" s="5">
        <f>D19*C19</f>
        <v>300</v>
      </c>
    </row>
    <row r="21" spans="2:5" x14ac:dyDescent="0.3">
      <c r="B21" s="2" t="s">
        <v>15</v>
      </c>
      <c r="E21" s="4">
        <f>SUM(E17:E20)</f>
        <v>3550</v>
      </c>
    </row>
    <row r="24" spans="2:5" s="7" customFormat="1" ht="17.5" x14ac:dyDescent="0.35">
      <c r="B24" s="6" t="s">
        <v>16</v>
      </c>
      <c r="E24" s="6">
        <f>E13+E21</f>
        <v>9300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Aimé Seraphin Edgard Miyoulou</dc:creator>
  <cp:lastModifiedBy>Aimé Seraphin Edgard Miyoulou</cp:lastModifiedBy>
  <dcterms:created xsi:type="dcterms:W3CDTF">2025-11-13T14:28:29Z</dcterms:created>
  <dcterms:modified xsi:type="dcterms:W3CDTF">2025-11-13T14:46:33Z</dcterms:modified>
</cp:coreProperties>
</file>